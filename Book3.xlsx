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joshi\Videos\sir\"/>
    </mc:Choice>
  </mc:AlternateContent>
  <xr:revisionPtr revIDLastSave="0" documentId="13_ncr:1_{0611D63F-3D8B-486B-934E-DB13E819B50B}" xr6:coauthVersionLast="47" xr6:coauthVersionMax="47" xr10:uidLastSave="{00000000-0000-0000-0000-000000000000}"/>
  <bookViews>
    <workbookView xWindow="-110" yWindow="-110" windowWidth="19420" windowHeight="10300" xr2:uid="{E0228488-3E22-48E5-A99A-F73B38563A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12" i="1" l="1"/>
  <c r="O12" i="1"/>
  <c r="N12" i="1"/>
  <c r="M12" i="1"/>
  <c r="L12" i="1"/>
  <c r="K12" i="1"/>
  <c r="J12" i="1"/>
  <c r="P10" i="1"/>
  <c r="O10" i="1"/>
  <c r="N10" i="1"/>
  <c r="K10" i="1"/>
  <c r="J10" i="1"/>
  <c r="J6" i="1"/>
  <c r="K6" i="1"/>
  <c r="L6" i="1"/>
  <c r="M6" i="1"/>
  <c r="N6" i="1"/>
  <c r="O6" i="1"/>
  <c r="P6" i="1"/>
  <c r="J8" i="1"/>
  <c r="K8" i="1"/>
  <c r="L8" i="1"/>
  <c r="M8" i="1"/>
  <c r="N8" i="1"/>
  <c r="O8" i="1"/>
  <c r="P8" i="1"/>
  <c r="P4" i="1"/>
  <c r="O4" i="1"/>
  <c r="N4" i="1"/>
  <c r="M4" i="1"/>
  <c r="L4" i="1"/>
  <c r="K4" i="1"/>
  <c r="J4" i="1"/>
  <c r="P2" i="1"/>
  <c r="O2" i="1"/>
  <c r="N2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<sst xmlns="http://schemas.openxmlformats.org/spreadsheetml/2006/main" count="107" uniqueCount="81">
  <si>
    <t>Emp ID</t>
  </si>
  <si>
    <t>First Name</t>
  </si>
  <si>
    <t>Last Name</t>
  </si>
  <si>
    <t>Department</t>
  </si>
  <si>
    <t>City</t>
  </si>
  <si>
    <t>Salary</t>
  </si>
  <si>
    <t>Joining Date</t>
  </si>
  <si>
    <t>Loan</t>
  </si>
  <si>
    <t>Rahul</t>
  </si>
  <si>
    <t>Sharma</t>
  </si>
  <si>
    <t>HR</t>
  </si>
  <si>
    <t>Delhi</t>
  </si>
  <si>
    <t>Priya</t>
  </si>
  <si>
    <t>Verma</t>
  </si>
  <si>
    <t>Sales</t>
  </si>
  <si>
    <t>Mumbai</t>
  </si>
  <si>
    <t>Amit</t>
  </si>
  <si>
    <t>Singh</t>
  </si>
  <si>
    <t>IT</t>
  </si>
  <si>
    <t>Neha</t>
  </si>
  <si>
    <t>Gupta</t>
  </si>
  <si>
    <t>Pune</t>
  </si>
  <si>
    <t>Karan</t>
  </si>
  <si>
    <t>Mehta</t>
  </si>
  <si>
    <t>Finance</t>
  </si>
  <si>
    <t>Pooja</t>
  </si>
  <si>
    <t>Shah</t>
  </si>
  <si>
    <t>Rohan</t>
  </si>
  <si>
    <t>Kapoor</t>
  </si>
  <si>
    <t>Anjali</t>
  </si>
  <si>
    <t>Mishra</t>
  </si>
  <si>
    <t>Vikas</t>
  </si>
  <si>
    <t>Yadav</t>
  </si>
  <si>
    <t>Sneha</t>
  </si>
  <si>
    <t>Joshi</t>
  </si>
  <si>
    <t>Concatenate</t>
  </si>
  <si>
    <t>Substitute</t>
  </si>
  <si>
    <t>Left</t>
  </si>
  <si>
    <t>Right</t>
  </si>
  <si>
    <t>Mid</t>
  </si>
  <si>
    <t>Upper</t>
  </si>
  <si>
    <t>Lower</t>
  </si>
  <si>
    <t>Proper</t>
  </si>
  <si>
    <t>Max</t>
  </si>
  <si>
    <t>Min</t>
  </si>
  <si>
    <t>Median</t>
  </si>
  <si>
    <t>Count</t>
  </si>
  <si>
    <t>CountA</t>
  </si>
  <si>
    <t>A</t>
  </si>
  <si>
    <t>CountBlank</t>
  </si>
  <si>
    <t>CountIf</t>
  </si>
  <si>
    <t>CountIFS</t>
  </si>
  <si>
    <t>SumIF</t>
  </si>
  <si>
    <t>SumIFS</t>
  </si>
  <si>
    <t>Average</t>
  </si>
  <si>
    <t>Round</t>
  </si>
  <si>
    <t>RoundDown</t>
  </si>
  <si>
    <t>RoundUp</t>
  </si>
  <si>
    <t>SQRT</t>
  </si>
  <si>
    <t>DAYS</t>
  </si>
  <si>
    <t>DAYS360</t>
  </si>
  <si>
    <t>WEEKDAY</t>
  </si>
  <si>
    <t>WEEKNUM</t>
  </si>
  <si>
    <t>NETWORKDAYS</t>
  </si>
  <si>
    <t>TODAY</t>
  </si>
  <si>
    <t>NOW</t>
  </si>
  <si>
    <t>LEN</t>
  </si>
  <si>
    <r>
      <t xml:space="preserve">Annual Interest = </t>
    </r>
    <r>
      <rPr>
        <b/>
        <sz val="11"/>
        <color theme="1"/>
        <rFont val="Aptos Narrow"/>
        <family val="2"/>
        <scheme val="minor"/>
      </rPr>
      <t>10%</t>
    </r>
  </si>
  <si>
    <r>
      <t xml:space="preserve">Tenure = </t>
    </r>
    <r>
      <rPr>
        <b/>
        <sz val="11"/>
        <color theme="1"/>
        <rFont val="Aptos Narrow"/>
        <family val="2"/>
        <scheme val="minor"/>
      </rPr>
      <t>5 years</t>
    </r>
  </si>
  <si>
    <t>PMT</t>
  </si>
  <si>
    <t>IPMT</t>
  </si>
  <si>
    <t>PPMT</t>
  </si>
  <si>
    <t>CUMIPMT</t>
  </si>
  <si>
    <t>YEARFRAC</t>
  </si>
  <si>
    <t>ROWS</t>
  </si>
  <si>
    <t>COLUMNS</t>
  </si>
  <si>
    <t>RANDBETWEEN</t>
  </si>
  <si>
    <t>B</t>
  </si>
  <si>
    <t>C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</si>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</sst>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1217-E1E9-4BEA-B15F-EC1F6EA8FD79}">
  <dimension ref="A1:P12"/>
  <sheetViews>
    <sheetView tabSelected="1" workbookViewId="0">
      <selection activeCell="I16" sqref="I16"/>
    </sheetView>
  </sheetViews>
  <sheetFormatPr defaultRowHeight="14.5" x14ac:dyDescent="0.35"/>
  <cols>
    <col min="1" max="1" width="6.7265625" bestFit="1" customWidth="1"/>
    <col min="2" max="2" width="5.90625" bestFit="1" customWidth="1"/>
    <col min="3" max="3" width="7" bestFit="1" customWidth="1"/>
    <col min="4" max="4" width="8.08984375" bestFit="1" customWidth="1"/>
    <col min="5" max="5" width="7.26953125" bestFit="1" customWidth="1"/>
    <col min="6" max="6" width="6" bestFit="1" customWidth="1"/>
    <col min="7" max="7" width="9.36328125" bestFit="1" customWidth="1"/>
    <col min="8" max="8" width="6.81640625" bestFit="1" customWidth="1"/>
    <col min="9" max="9" width="12.08984375" customWidth="1"/>
    <col min="10" max="10" width="14.81640625" customWidth="1"/>
    <col min="11" max="11" width="12.54296875" customWidth="1"/>
    <col min="12" max="12" width="13.453125" customWidth="1"/>
    <col min="13" max="13" width="10.90625" customWidth="1"/>
    <col min="14" max="14" width="14.08984375" customWidth="1"/>
    <col min="15" max="15" width="13.90625" customWidth="1"/>
    <col min="16" max="16" width="11.7265625" customWidth="1"/>
  </cols>
  <sheetData>
    <row r="1" spans="1:16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</row>
    <row r="2" spans="1:16" x14ac:dyDescent="0.35">
      <c r="A2" s="1">
        <v>101</v>
      </c>
      <c r="B2" s="3" t="s">
        <v>8</v>
      </c>
      <c r="C2" s="3" t="s">
        <v>9</v>
      </c>
      <c r="D2" s="3" t="s">
        <v>10</v>
      </c>
      <c r="E2" s="3" t="s">
        <v>11</v>
      </c>
      <c r="F2" s="1">
        <v>45000</v>
      </c>
      <c r="G2" s="4">
        <v>43845</v>
      </c>
      <c r="H2" s="1">
        <v>500000</v>
      </c>
      <c r="I2" t="str">
        <f>CONCATENATE(B2," ",C2)</f>
        <v>Rahul Sharma</v>
      </c>
      <c r="J2" t="str">
        <f>SUBSTITUTE(B2,"Rahul","Raj")</f>
        <v>Raj</v>
      </c>
      <c r="K2" t="str">
        <f>LEFT(B2,3)</f>
        <v>Rah</v>
      </c>
      <c r="L2" t="str">
        <f>RIGHT(C2,3)</f>
        <v>rma</v>
      </c>
      <c r="M2" t="str">
        <f>MID(B2,2,3)</f>
        <v>ahu</v>
      </c>
      <c r="N2" t="str">
        <f>UPPER(B2)</f>
        <v>RAHUL</v>
      </c>
      <c r="O2" t="str">
        <f>LOWER(B2)</f>
        <v>rahul</v>
      </c>
      <c r="P2" t="str">
        <f>PROPER("rahul sharma")</f>
        <v>Rahul Sharma</v>
      </c>
    </row>
    <row r="3" spans="1:16" x14ac:dyDescent="0.35">
      <c r="A3" s="1">
        <v>102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52000</v>
      </c>
      <c r="G3" s="4">
        <v>44275</v>
      </c>
      <c r="H3" s="1">
        <v>350000</v>
      </c>
      <c r="I3" t="str">
        <f t="shared" ref="I3:I11" si="0">CONCATENATE(B3," ",C3)</f>
        <v>Priya Verma</v>
      </c>
      <c r="J3" s="7" t="s">
        <v>43</v>
      </c>
      <c r="K3" s="7" t="s">
        <v>44</v>
      </c>
      <c r="L3" s="7" t="s">
        <v>45</v>
      </c>
      <c r="M3" s="7" t="s">
        <v>46</v>
      </c>
      <c r="N3" s="7" t="s">
        <v>47</v>
      </c>
      <c r="O3" s="7" t="s">
        <v>49</v>
      </c>
      <c r="P3" s="7" t="s">
        <v>50</v>
      </c>
    </row>
    <row r="4" spans="1:16" x14ac:dyDescent="0.35">
      <c r="A4" s="1">
        <v>103</v>
      </c>
      <c r="B4" s="3" t="s">
        <v>16</v>
      </c>
      <c r="C4" s="3" t="s">
        <v>17</v>
      </c>
      <c r="D4" s="3" t="s">
        <v>18</v>
      </c>
      <c r="E4" s="3" t="s">
        <v>11</v>
      </c>
      <c r="F4" s="1">
        <v>61000</v>
      </c>
      <c r="G4" s="4">
        <v>43651</v>
      </c>
      <c r="H4" s="1">
        <v>800000</v>
      </c>
      <c r="I4" t="str">
        <f t="shared" si="0"/>
        <v>Amit Singh</v>
      </c>
      <c r="J4">
        <f>MAX(F2:F11)</f>
        <v>72000</v>
      </c>
      <c r="K4">
        <f>MIN(F2:F11)</f>
        <v>45000</v>
      </c>
      <c r="L4">
        <f>MEDIAN(F2:F11)</f>
        <v>58500</v>
      </c>
      <c r="M4">
        <f>COUNT(F2:F11)</f>
        <v>10</v>
      </c>
      <c r="N4">
        <f>COUNTA(B2:B11)</f>
        <v>10</v>
      </c>
      <c r="O4">
        <f>COUNTBLANK(B2:B11)</f>
        <v>0</v>
      </c>
      <c r="P4">
        <f>COUNTIF(E2:E11,"Delhi")</f>
        <v>5</v>
      </c>
    </row>
    <row r="5" spans="1:16" x14ac:dyDescent="0.35">
      <c r="A5" s="1">
        <v>104</v>
      </c>
      <c r="B5" s="3" t="s">
        <v>19</v>
      </c>
      <c r="C5" s="3" t="s">
        <v>20</v>
      </c>
      <c r="D5" s="3" t="s">
        <v>10</v>
      </c>
      <c r="E5" s="3" t="s">
        <v>21</v>
      </c>
      <c r="F5" s="1">
        <v>47000</v>
      </c>
      <c r="G5" s="4">
        <v>44785</v>
      </c>
      <c r="H5" s="1">
        <v>450000</v>
      </c>
      <c r="I5" t="str">
        <f t="shared" si="0"/>
        <v>Neha Gupta</v>
      </c>
      <c r="J5" s="7" t="s">
        <v>51</v>
      </c>
      <c r="K5" s="7" t="s">
        <v>52</v>
      </c>
      <c r="L5" s="7" t="s">
        <v>53</v>
      </c>
      <c r="M5" s="7" t="s">
        <v>54</v>
      </c>
      <c r="N5" s="7" t="s">
        <v>55</v>
      </c>
      <c r="O5" s="7" t="s">
        <v>56</v>
      </c>
      <c r="P5" s="7" t="s">
        <v>57</v>
      </c>
    </row>
    <row r="6" spans="1:16" x14ac:dyDescent="0.35">
      <c r="A6" s="1">
        <v>105</v>
      </c>
      <c r="B6" s="3" t="s">
        <v>22</v>
      </c>
      <c r="C6" s="3" t="s">
        <v>23</v>
      </c>
      <c r="D6" s="3" t="s">
        <v>24</v>
      </c>
      <c r="E6" s="3" t="s">
        <v>11</v>
      </c>
      <c r="F6" s="1">
        <v>70000</v>
      </c>
      <c r="G6" s="4">
        <v>43191</v>
      </c>
      <c r="H6" s="1">
        <v>900000</v>
      </c>
      <c r="I6" t="str">
        <f t="shared" si="0"/>
        <v>Karan Mehta</v>
      </c>
      <c r="J6">
        <f>COUNTIFS(E2:E11,"Delhi",F2:F11,"&gt;60000")</f>
        <v>4</v>
      </c>
      <c r="K6">
        <f>SUMIF(D2:D11,"IT",F2:F11)</f>
        <v>193000</v>
      </c>
      <c r="L6">
        <f>SUMIFS(F2:F11,D2:D11,"IT",E2:E11,"Delhi")</f>
        <v>129000</v>
      </c>
      <c r="M6">
        <f>AVERAGE(F2:F11)</f>
        <v>58400</v>
      </c>
      <c r="N6">
        <f>ROUND(1234.5678,2)</f>
        <v>1234.57</v>
      </c>
      <c r="O6">
        <f>ROUNDDOWN(1234.5678,2)</f>
        <v>1234.56</v>
      </c>
      <c r="P6">
        <f>ROUNDUP(1234.5678,2)</f>
        <v>1234.57</v>
      </c>
    </row>
    <row r="7" spans="1:16" x14ac:dyDescent="0.35">
      <c r="A7" s="1">
        <v>106</v>
      </c>
      <c r="B7" s="3" t="s">
        <v>25</v>
      </c>
      <c r="C7" s="3" t="s">
        <v>26</v>
      </c>
      <c r="D7" s="3" t="s">
        <v>18</v>
      </c>
      <c r="E7" s="3" t="s">
        <v>15</v>
      </c>
      <c r="F7" s="1">
        <v>64000</v>
      </c>
      <c r="G7" s="4">
        <v>44000</v>
      </c>
      <c r="H7" s="1">
        <v>750000</v>
      </c>
      <c r="I7" t="str">
        <f t="shared" si="0"/>
        <v>Pooja Shah</v>
      </c>
      <c r="J7" s="7" t="s">
        <v>58</v>
      </c>
      <c r="K7" s="7" t="s">
        <v>59</v>
      </c>
      <c r="L7" s="7" t="s">
        <v>60</v>
      </c>
      <c r="M7" s="7" t="s">
        <v>61</v>
      </c>
      <c r="N7" s="7" t="s">
        <v>62</v>
      </c>
      <c r="O7" s="7" t="s">
        <v>63</v>
      </c>
      <c r="P7" s="7" t="s">
        <v>64</v>
      </c>
    </row>
    <row r="8" spans="1:16" x14ac:dyDescent="0.35">
      <c r="A8" s="1">
        <v>107</v>
      </c>
      <c r="B8" s="3" t="s">
        <v>27</v>
      </c>
      <c r="C8" s="3" t="s">
        <v>28</v>
      </c>
      <c r="D8" s="3" t="s">
        <v>14</v>
      </c>
      <c r="E8" s="3" t="s">
        <v>21</v>
      </c>
      <c r="F8" s="1">
        <v>56000</v>
      </c>
      <c r="G8" s="4">
        <v>44540</v>
      </c>
      <c r="H8" s="1">
        <v>600000</v>
      </c>
      <c r="I8" t="str">
        <f t="shared" si="0"/>
        <v>Rohan Kapoor</v>
      </c>
      <c r="J8">
        <f>SQRT(625)</f>
        <v>25</v>
      </c>
      <c r="K8">
        <f ca="1">_xlfn.DAYS(TODAY(),G2)</f>
        <v>2356</v>
      </c>
      <c r="L8">
        <f ca="1">DAYS360(G2,TODAY())</f>
        <v>2323</v>
      </c>
      <c r="M8">
        <f>WEEKDAY(G2)</f>
        <v>4</v>
      </c>
      <c r="N8">
        <f>WEEKNUM(G2)</f>
        <v>3</v>
      </c>
      <c r="O8">
        <f ca="1">NETWORKDAYS(G2,TODAY())</f>
        <v>1683</v>
      </c>
      <c r="P8" s="8">
        <f ca="1">TODAY()</f>
        <v>46201</v>
      </c>
    </row>
    <row r="9" spans="1:16" x14ac:dyDescent="0.35">
      <c r="A9" s="1">
        <v>108</v>
      </c>
      <c r="B9" s="3" t="s">
        <v>29</v>
      </c>
      <c r="C9" s="3" t="s">
        <v>30</v>
      </c>
      <c r="D9" s="3" t="s">
        <v>24</v>
      </c>
      <c r="E9" s="3" t="s">
        <v>11</v>
      </c>
      <c r="F9" s="1">
        <v>72000</v>
      </c>
      <c r="G9" s="4">
        <v>43521</v>
      </c>
      <c r="H9" s="1">
        <v>850000</v>
      </c>
      <c r="I9" t="str">
        <f t="shared" si="0"/>
        <v>Anjali Mishra</v>
      </c>
      <c r="J9" s="7" t="s">
        <v>65</v>
      </c>
      <c r="K9" s="7" t="s">
        <v>66</v>
      </c>
      <c r="L9" s="11" t="s">
        <v>67</v>
      </c>
      <c r="M9" s="11"/>
      <c r="N9" s="7" t="s">
        <v>69</v>
      </c>
      <c r="O9" s="7" t="s">
        <v>70</v>
      </c>
      <c r="P9" s="7" t="s">
        <v>71</v>
      </c>
    </row>
    <row r="10" spans="1:16" x14ac:dyDescent="0.35">
      <c r="A10" s="1">
        <v>109</v>
      </c>
      <c r="B10" s="3" t="s">
        <v>31</v>
      </c>
      <c r="C10" s="3" t="s">
        <v>32</v>
      </c>
      <c r="D10" s="3" t="s">
        <v>10</v>
      </c>
      <c r="E10" s="3" t="s">
        <v>15</v>
      </c>
      <c r="F10" s="1">
        <v>49000</v>
      </c>
      <c r="G10" s="4">
        <v>45060</v>
      </c>
      <c r="H10" s="1">
        <v>300000</v>
      </c>
      <c r="I10" t="str">
        <f t="shared" si="0"/>
        <v>Vikas Yadav</v>
      </c>
      <c r="J10" s="9">
        <f ca="1">NOW()</f>
        <v>46201.392450347223</v>
      </c>
      <c r="K10">
        <f>LEN(B2)</f>
        <v>5</v>
      </c>
      <c r="L10" s="11" t="s">
        <v>68</v>
      </c>
      <c r="M10" s="11"/>
      <c r="N10" s="10">
        <f>PMT(10%/12,60,-H2)</f>
        <v>10623.522355634139</v>
      </c>
      <c r="O10" s="10">
        <f>IPMT(10%/12,1,60,-H2)</f>
        <v>4166.666666666667</v>
      </c>
      <c r="P10" s="10">
        <f>PPMT(10%/12,1,60,-H2)</f>
        <v>6456.8556889674719</v>
      </c>
    </row>
    <row r="11" spans="1:16" x14ac:dyDescent="0.35">
      <c r="A11" s="1">
        <v>110</v>
      </c>
      <c r="B11" s="3" t="s">
        <v>33</v>
      </c>
      <c r="C11" s="3" t="s">
        <v>34</v>
      </c>
      <c r="D11" s="3" t="s">
        <v>18</v>
      </c>
      <c r="E11" s="3" t="s">
        <v>11</v>
      </c>
      <c r="F11" s="1">
        <v>68000</v>
      </c>
      <c r="G11" s="4">
        <v>44834</v>
      </c>
      <c r="H11" s="1">
        <v>650000</v>
      </c>
      <c r="I11" t="str">
        <f t="shared" si="0"/>
        <v>Sneha Joshi</v>
      </c>
      <c r="J11" s="7" t="s">
        <v>72</v>
      </c>
      <c r="K11" s="7" t="s">
        <v>73</v>
      </c>
      <c r="L11" s="7" t="s">
        <v>74</v>
      </c>
      <c r="M11" s="7" t="s">
        <v>75</v>
      </c>
      <c r="N11" s="7" t="s">
        <v>76</v>
      </c>
      <c r="O11" s="7" t="s">
        <v>79</v>
      </c>
      <c r="P11" s="7" t="s">
        <v>80</v>
      </c>
    </row>
    <row r="12" spans="1:16" x14ac:dyDescent="0.35">
      <c r="J12">
        <f>CUMIPMT(10%/12,60,H2,1,12,0)</f>
        <v>-46348.208441500727</v>
      </c>
      <c r="K12">
        <f ca="1">YEARFRAC(G2,TODAY())</f>
        <v>6.4527777777777775</v>
      </c>
      <c r="L12">
        <f>ROWS(A2:H11)</f>
        <v>10</v>
      </c>
      <c r="M12">
        <f>COLUMNS(A2:H11)</f>
        <v>8</v>
      </c>
      <c r="N12">
        <f ca="1">RANDBETWEEN(1,100)</f>
        <v>23</v>
      </c>
      <c r="O12">
        <f>VLOOKUP(B2,Sheet2!B1:C6,2,0)</f>
        <v>45000</v>
      </c>
      <c r="P12">
        <f>HLOOKUP(B2,Sheet2!A9:F10,2,0)</f>
        <v>45000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B89B-DC4E-43DD-8770-A31D6CB5FA61}">
  <dimension ref="A1:F10"/>
  <sheetViews>
    <sheetView workbookViewId="0">
      <selection activeCell="I12" sqref="I12"/>
    </sheetView>
  </sheetViews>
  <sheetFormatPr defaultRowHeight="14.5" x14ac:dyDescent="0.35"/>
  <sheetData>
    <row r="1" spans="1:6" x14ac:dyDescent="0.35">
      <c r="A1" s="2" t="s">
        <v>48</v>
      </c>
      <c r="B1" s="2" t="s">
        <v>77</v>
      </c>
      <c r="C1" s="2" t="s">
        <v>78</v>
      </c>
    </row>
    <row r="2" spans="1:6" x14ac:dyDescent="0.35">
      <c r="A2" s="3">
        <v>101</v>
      </c>
      <c r="B2" s="3" t="s">
        <v>8</v>
      </c>
      <c r="C2" s="3">
        <v>45000</v>
      </c>
    </row>
    <row r="3" spans="1:6" x14ac:dyDescent="0.35">
      <c r="A3" s="3">
        <v>102</v>
      </c>
      <c r="B3" s="3" t="s">
        <v>12</v>
      </c>
      <c r="C3" s="3">
        <v>52000</v>
      </c>
    </row>
    <row r="4" spans="1:6" x14ac:dyDescent="0.35">
      <c r="A4" s="3">
        <v>103</v>
      </c>
      <c r="B4" s="3" t="s">
        <v>16</v>
      </c>
      <c r="C4" s="3">
        <v>61000</v>
      </c>
    </row>
    <row r="5" spans="1:6" x14ac:dyDescent="0.35">
      <c r="A5" s="3">
        <v>104</v>
      </c>
      <c r="B5" s="3" t="s">
        <v>19</v>
      </c>
      <c r="C5" s="3">
        <v>47000</v>
      </c>
    </row>
    <row r="6" spans="1:6" x14ac:dyDescent="0.35">
      <c r="A6" s="3">
        <v>105</v>
      </c>
      <c r="B6" s="3" t="s">
        <v>22</v>
      </c>
      <c r="C6" s="3">
        <v>70000</v>
      </c>
    </row>
    <row r="8" spans="1:6" x14ac:dyDescent="0.35">
      <c r="A8" s="2" t="s">
        <v>48</v>
      </c>
      <c r="B8" s="3">
        <v>101</v>
      </c>
      <c r="C8" s="3">
        <v>102</v>
      </c>
      <c r="D8" s="3">
        <v>103</v>
      </c>
      <c r="E8" s="3">
        <v>104</v>
      </c>
      <c r="F8" s="3">
        <v>105</v>
      </c>
    </row>
    <row r="9" spans="1:6" x14ac:dyDescent="0.35">
      <c r="A9" s="2" t="s">
        <v>77</v>
      </c>
      <c r="B9" s="3" t="s">
        <v>8</v>
      </c>
      <c r="C9" s="3" t="s">
        <v>12</v>
      </c>
      <c r="D9" s="3" t="s">
        <v>16</v>
      </c>
      <c r="E9" s="3" t="s">
        <v>19</v>
      </c>
      <c r="F9" s="3" t="s">
        <v>22</v>
      </c>
    </row>
    <row r="10" spans="1:6" x14ac:dyDescent="0.35">
      <c r="A10" s="2" t="s">
        <v>78</v>
      </c>
      <c r="B10" s="3">
        <v>45000</v>
      </c>
      <c r="C10" s="3">
        <v>52000</v>
      </c>
      <c r="D10" s="3">
        <v>61000</v>
      </c>
      <c r="E10" s="3">
        <v>47000</v>
      </c>
      <c r="F10" s="3">
        <v>70000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Viplav</dc:creator>
  <cp:lastModifiedBy>Joshi, Viplav</cp:lastModifiedBy>
  <dcterms:created xsi:type="dcterms:W3CDTF">2026-06-28T03:37:40Z</dcterms:created>
  <dcterms:modified xsi:type="dcterms:W3CDTF">2026-06-28T04:04:31Z</dcterms:modified>
</cp:coreProperties>
</file>